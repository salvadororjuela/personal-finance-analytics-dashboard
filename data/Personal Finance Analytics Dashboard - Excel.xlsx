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416" documentId="11_E60897F41BE170836B02CE998F75CCDC64E183C8" xr6:coauthVersionLast="47" xr6:coauthVersionMax="47" xr10:uidLastSave="{AE102FF9-6844-477C-AD4D-6DDB22E3998B}"/>
  <bookViews>
    <workbookView xWindow="240" yWindow="105" windowWidth="14805" windowHeight="8010" xr2:uid="{00000000-000D-0000-FFFF-FFFF00000000}"/>
  </bookViews>
  <sheets>
    <sheet name="Transactions" sheetId="1" r:id="rId1"/>
    <sheet name="Summary" sheetId="2" r:id="rId2"/>
    <sheet name="Dashboar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2" l="1"/>
  <c r="F10" i="2"/>
  <c r="F8" i="2"/>
  <c r="E9" i="2"/>
  <c r="G9" i="2" s="1"/>
  <c r="H9" i="2" s="1"/>
  <c r="E10" i="2"/>
  <c r="G10" i="2" s="1"/>
  <c r="H10" i="2" s="1"/>
  <c r="E8" i="2"/>
  <c r="G8" i="2" s="1"/>
  <c r="H8" i="2" s="1"/>
  <c r="B13" i="2"/>
  <c r="B11" i="2"/>
  <c r="B12" i="2"/>
  <c r="B8" i="2"/>
  <c r="B10" i="2"/>
  <c r="B9" i="2"/>
  <c r="B14" i="2"/>
  <c r="B1" i="2"/>
  <c r="A4" i="3" s="1"/>
  <c r="B2" i="2"/>
  <c r="K20" i="2" l="1"/>
  <c r="K15" i="2"/>
  <c r="K16" i="2"/>
  <c r="K18" i="2"/>
  <c r="K17" i="2"/>
  <c r="B3" i="2"/>
  <c r="D4" i="3"/>
  <c r="B4" i="2" l="1"/>
  <c r="J4" i="3" s="1"/>
  <c r="G4" i="3"/>
</calcChain>
</file>

<file path=xl/sharedStrings.xml><?xml version="1.0" encoding="utf-8"?>
<sst xmlns="http://schemas.openxmlformats.org/spreadsheetml/2006/main" count="267" uniqueCount="64">
  <si>
    <t>Date</t>
  </si>
  <si>
    <t>Description</t>
  </si>
  <si>
    <t>Category</t>
  </si>
  <si>
    <t>Type</t>
  </si>
  <si>
    <t>Amount</t>
  </si>
  <si>
    <t>Payment Method</t>
  </si>
  <si>
    <t>Month</t>
  </si>
  <si>
    <t>Notes</t>
  </si>
  <si>
    <t>Salary</t>
  </si>
  <si>
    <t>Income</t>
  </si>
  <si>
    <t>Bank Transfer</t>
  </si>
  <si>
    <t>January</t>
  </si>
  <si>
    <t>Monthly salary</t>
  </si>
  <si>
    <t>Rent</t>
  </si>
  <si>
    <t>Housing</t>
  </si>
  <si>
    <t>Expense</t>
  </si>
  <si>
    <t>Monthly rent</t>
  </si>
  <si>
    <t>Supermarket</t>
  </si>
  <si>
    <t>Food</t>
  </si>
  <si>
    <t>Debit Card</t>
  </si>
  <si>
    <t>Groceries</t>
  </si>
  <si>
    <t>Electricity</t>
  </si>
  <si>
    <t>Utilities</t>
  </si>
  <si>
    <t>Monthly bill</t>
  </si>
  <si>
    <t>Internet</t>
  </si>
  <si>
    <t>Credit Card</t>
  </si>
  <si>
    <t>Monthly service</t>
  </si>
  <si>
    <t>Restaurant</t>
  </si>
  <si>
    <t>Dinner</t>
  </si>
  <si>
    <t>Gas</t>
  </si>
  <si>
    <t>Transportation</t>
  </si>
  <si>
    <t>Streaming</t>
  </si>
  <si>
    <t>Entertainment</t>
  </si>
  <si>
    <t>Subscription</t>
  </si>
  <si>
    <t>Pharmacy</t>
  </si>
  <si>
    <t>Health</t>
  </si>
  <si>
    <t>Personal care</t>
  </si>
  <si>
    <t>Clothing</t>
  </si>
  <si>
    <t>Shopping</t>
  </si>
  <si>
    <t>Clothes</t>
  </si>
  <si>
    <t>February</t>
  </si>
  <si>
    <t>March</t>
  </si>
  <si>
    <t>Total Income</t>
  </si>
  <si>
    <t>Total Expenses</t>
  </si>
  <si>
    <t>Net Savings</t>
  </si>
  <si>
    <t>Savings Rate</t>
  </si>
  <si>
    <t>Expenses</t>
  </si>
  <si>
    <t>Savings</t>
  </si>
  <si>
    <t>Analysis Metric</t>
  </si>
  <si>
    <t>Value</t>
  </si>
  <si>
    <t>Housing % of Expenses</t>
  </si>
  <si>
    <t>Savings Rate Improvement</t>
  </si>
  <si>
    <t>Expense Change Jan–Mar</t>
  </si>
  <si>
    <t>Expense Change % Jan - Mar</t>
  </si>
  <si>
    <t>Housing + Food % of Expenses</t>
  </si>
  <si>
    <t>PERSONAL FINANCE DASHBOARD</t>
  </si>
  <si>
    <t>TOTAL INCOME</t>
  </si>
  <si>
    <t>TOTAL EXPENSES</t>
  </si>
  <si>
    <t>NET SAVINGS</t>
  </si>
  <si>
    <t>SAVINGS RATE</t>
  </si>
  <si>
    <t>KEY INSIGHTS</t>
  </si>
  <si>
    <t>Housing represents 51.56% of total expenses and Food represents 27.04%; together, they account for 78.60% of total expenses, making them the primary categories to monitor for potential savings.</t>
  </si>
  <si>
    <t>Savings rate improved by 0.77 percentage points from January to March.</t>
  </si>
  <si>
    <t>Monthly expenses decreased by 1.45% from January to March while income remained constant.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</si>
</sst>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&quot;$&quot;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0" xfId="0" applyFont="1"/>
    <xf numFmtId="0" fontId="4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left" vertical="top" wrapText="1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numFmt numFmtId="2" formatCode="0.00"/>
    </dxf>
    <dxf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Summary!$D$8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Summary!$E$7:$G$7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Summary!$E$8:$G$8</c:f>
              <c:numCache>
                <c:formatCode>General</c:formatCode>
                <c:ptCount val="3"/>
                <c:pt idx="0">
                  <c:v>3500</c:v>
                </c:pt>
                <c:pt idx="1">
                  <c:v>1860</c:v>
                </c:pt>
                <c:pt idx="2">
                  <c:v>1640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A-4DB4-8E74-100F0C3A06BB}"/>
            </c:ext>
          </c:extLst>
        </c:ser>
        <c:ser>
          <c:idx val="1"/>
          <c:order val="1"/>
          <c:tx>
            <c:strRef>
              <c:f>Summary!$D$9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Summary!$E$7:$G$7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Summary!$E$9:$G$9</c:f>
              <c:numCache>
                <c:formatCode>General</c:formatCode>
                <c:ptCount val="3"/>
                <c:pt idx="0">
                  <c:v>3500</c:v>
                </c:pt>
                <c:pt idx="1">
                  <c:v>1835</c:v>
                </c:pt>
                <c:pt idx="2">
                  <c:v>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A-4DB4-8E74-100F0C3A06BB}"/>
            </c:ext>
          </c:extLst>
        </c:ser>
        <c:ser>
          <c:idx val="2"/>
          <c:order val="2"/>
          <c:tx>
            <c:strRef>
              <c:f>Summary!$D$10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Summary!$E$7:$G$7</c:f>
              <c:strCache>
                <c:ptCount val="3"/>
                <c:pt idx="0">
                  <c:v>Income</c:v>
                </c:pt>
                <c:pt idx="1">
                  <c:v>Expenses</c:v>
                </c:pt>
                <c:pt idx="2">
                  <c:v>Savings</c:v>
                </c:pt>
              </c:strCache>
            </c:strRef>
          </c:cat>
          <c:val>
            <c:numRef>
              <c:f>Summary!$E$10:$G$10</c:f>
              <c:numCache>
                <c:formatCode>General</c:formatCode>
                <c:ptCount val="3"/>
                <c:pt idx="0">
                  <c:v>3500</c:v>
                </c:pt>
                <c:pt idx="1">
                  <c:v>1833</c:v>
                </c:pt>
                <c:pt idx="2">
                  <c:v>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3A-4DB4-8E74-100F0C3A0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26440"/>
        <c:axId val="75028488"/>
      </c:barChart>
      <c:catAx>
        <c:axId val="7502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8488"/>
        <c:crosses val="autoZero"/>
        <c:auto val="1"/>
        <c:lblAlgn val="ctr"/>
        <c:lblOffset val="100"/>
        <c:noMultiLvlLbl val="0"/>
      </c:catAx>
      <c:valAx>
        <c:axId val="750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layout>
        <c:manualLayout>
          <c:xMode val="edge"/>
          <c:yMode val="edge"/>
          <c:x val="0.37877451820406904"/>
          <c:y val="3.1250270510874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Summary!$A$8:$A$14</c:f>
              <c:strCache>
                <c:ptCount val="7"/>
                <c:pt idx="0">
                  <c:v>Entertainment</c:v>
                </c:pt>
                <c:pt idx="1">
                  <c:v>Health</c:v>
                </c:pt>
                <c:pt idx="2">
                  <c:v>Shopping</c:v>
                </c:pt>
                <c:pt idx="3">
                  <c:v>Utilities</c:v>
                </c:pt>
                <c:pt idx="4">
                  <c:v>Transportation</c:v>
                </c:pt>
                <c:pt idx="5">
                  <c:v>Food</c:v>
                </c:pt>
                <c:pt idx="6">
                  <c:v>Housing</c:v>
                </c:pt>
              </c:strCache>
            </c:strRef>
          </c:cat>
          <c:val>
            <c:numRef>
              <c:f>Summary!$B$8:$B$14</c:f>
              <c:numCache>
                <c:formatCode>General</c:formatCode>
                <c:ptCount val="7"/>
                <c:pt idx="0">
                  <c:v>75</c:v>
                </c:pt>
                <c:pt idx="1">
                  <c:v>125</c:v>
                </c:pt>
                <c:pt idx="2">
                  <c:v>295</c:v>
                </c:pt>
                <c:pt idx="3">
                  <c:v>308</c:v>
                </c:pt>
                <c:pt idx="4">
                  <c:v>380</c:v>
                </c:pt>
                <c:pt idx="5">
                  <c:v>1495</c:v>
                </c:pt>
                <c:pt idx="6">
                  <c:v>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D-4655-A877-404FAC8A9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0814856"/>
        <c:axId val="1363857416"/>
      </c:barChart>
      <c:catAx>
        <c:axId val="1500814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57416"/>
        <c:crosses val="autoZero"/>
        <c:auto val="1"/>
        <c:lblAlgn val="ctr"/>
        <c:lblOffset val="100"/>
        <c:noMultiLvlLbl val="0"/>
      </c:catAx>
      <c:valAx>
        <c:axId val="1363857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1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Rate by Month</a:t>
            </a:r>
          </a:p>
        </c:rich>
      </c:tx>
      <c:layout>
        <c:manualLayout>
          <c:xMode val="edge"/>
          <c:yMode val="edge"/>
          <c:x val="0.39534522203927697"/>
          <c:y val="3.030310736762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Summary!$H$7</c:f>
              <c:strCache>
                <c:ptCount val="1"/>
                <c:pt idx="0">
                  <c:v>Savings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Summary!$D$8:$D$10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Summary!$H$8:$H$10</c:f>
              <c:numCache>
                <c:formatCode>0.00%</c:formatCode>
                <c:ptCount val="3"/>
                <c:pt idx="0">
                  <c:v>0.46857142857142858</c:v>
                </c:pt>
                <c:pt idx="1">
                  <c:v>0.4757142857142857</c:v>
                </c:pt>
                <c:pt idx="2">
                  <c:v>0.47628571428571431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3-407B-947F-38ACD6ACC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60744"/>
        <c:axId val="1471763976"/>
      </c:lineChart>
      <c:catAx>
        <c:axId val="172146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63976"/>
        <c:crosses val="autoZero"/>
        <c:auto val="1"/>
        <c:lblAlgn val="ctr"/>
        <c:lblOffset val="100"/>
        <c:noMultiLvlLbl val="0"/>
      </c:catAx>
      <c:valAx>
        <c:axId val="147176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60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Summary!$D$8:$D$10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Summary!$E$8:$E$10</c:f>
              <c:numCache>
                <c:formatCode>General</c:formatCode>
                <c:ptCount val="3"/>
                <c:pt idx="0">
                  <c:v>3500</c:v>
                </c:pt>
                <c:pt idx="1">
                  <c:v>3500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AA-4F41-ABEE-9AB41B6B792A}"/>
            </c:ext>
          </c:extLst>
        </c:ser>
        <c:ser>
          <c:idx val="1"/>
          <c:order val="1"/>
          <c:tx>
            <c:strRef>
              <c:f>Summary!$F$7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Summary!$D$8:$D$10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Summary!$F$8:$F$10</c:f>
              <c:numCache>
                <c:formatCode>General</c:formatCode>
                <c:ptCount val="3"/>
                <c:pt idx="0">
                  <c:v>1860</c:v>
                </c:pt>
                <c:pt idx="1">
                  <c:v>1835</c:v>
                </c:pt>
                <c:pt idx="2">
                  <c:v>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AA-4F41-ABEE-9AB41B6B792A}"/>
            </c:ext>
          </c:extLst>
        </c:ser>
        <c:ser>
          <c:idx val="2"/>
          <c:order val="2"/>
          <c:tx>
            <c:strRef>
              <c:f>Summary!$G$7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Summary!$D$8:$D$10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Summary!$G$8:$G$10</c:f>
              <c:numCache>
                <c:formatCode>General</c:formatCode>
                <c:ptCount val="3"/>
                <c:pt idx="0">
                  <c:v>1640</c:v>
                </c:pt>
                <c:pt idx="1">
                  <c:v>1665</c:v>
                </c:pt>
                <c:pt idx="2">
                  <c:v>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AA-4F41-ABEE-9AB41B6B7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26440"/>
        <c:axId val="75028488"/>
      </c:barChart>
      <c:catAx>
        <c:axId val="75026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8488"/>
        <c:crosses val="autoZero"/>
        <c:auto val="1"/>
        <c:lblAlgn val="ctr"/>
        <c:lblOffset val="100"/>
        <c:noMultiLvlLbl val="0"/>
      </c:catAx>
      <c:valAx>
        <c:axId val="750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Expenses by Category</a:t>
            </a:r>
          </a:p>
        </c:rich>
      </c:tx>
      <c:layout>
        <c:manualLayout>
          <c:xMode val="edge"/>
          <c:yMode val="edge"/>
          <c:x val="0.37877451820406904"/>
          <c:y val="3.1250270510874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Summary!$A$8:$A$14</c:f>
              <c:strCache>
                <c:ptCount val="7"/>
                <c:pt idx="0">
                  <c:v>Entertainment</c:v>
                </c:pt>
                <c:pt idx="1">
                  <c:v>Health</c:v>
                </c:pt>
                <c:pt idx="2">
                  <c:v>Shopping</c:v>
                </c:pt>
                <c:pt idx="3">
                  <c:v>Utilities</c:v>
                </c:pt>
                <c:pt idx="4">
                  <c:v>Transportation</c:v>
                </c:pt>
                <c:pt idx="5">
                  <c:v>Food</c:v>
                </c:pt>
                <c:pt idx="6">
                  <c:v>Housing</c:v>
                </c:pt>
              </c:strCache>
            </c:strRef>
          </c:cat>
          <c:val>
            <c:numRef>
              <c:f>Summary!$B$8:$B$14</c:f>
              <c:numCache>
                <c:formatCode>General</c:formatCode>
                <c:ptCount val="7"/>
                <c:pt idx="0">
                  <c:v>75</c:v>
                </c:pt>
                <c:pt idx="1">
                  <c:v>125</c:v>
                </c:pt>
                <c:pt idx="2">
                  <c:v>295</c:v>
                </c:pt>
                <c:pt idx="3">
                  <c:v>308</c:v>
                </c:pt>
                <c:pt idx="4">
                  <c:v>380</c:v>
                </c:pt>
                <c:pt idx="5">
                  <c:v>1495</c:v>
                </c:pt>
                <c:pt idx="6">
                  <c:v>2850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E-470E-9C04-DCC60162A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0814856"/>
        <c:axId val="1363857416"/>
      </c:barChart>
      <c:catAx>
        <c:axId val="1500814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857416"/>
        <c:crosses val="autoZero"/>
        <c:auto val="1"/>
        <c:lblAlgn val="ctr"/>
        <c:lblOffset val="100"/>
        <c:noMultiLvlLbl val="0"/>
      </c:catAx>
      <c:valAx>
        <c:axId val="1363857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81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Rate by Month</a:t>
            </a:r>
          </a:p>
        </c:rich>
      </c:tx>
      <c:layout>
        <c:manualLayout>
          <c:xMode val="edge"/>
          <c:yMode val="edge"/>
          <c:x val="0.39534522203927697"/>
          <c:y val="3.03031073676215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Summary!$H$7</c:f>
              <c:strCache>
                <c:ptCount val="1"/>
                <c:pt idx="0">
                  <c:v>Savings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Summary!$D$8:$D$10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Summary!$H$8:$H$10</c:f>
              <c:numCache>
                <c:formatCode>0.00%</c:formatCode>
                <c:ptCount val="3"/>
                <c:pt idx="0">
                  <c:v>0.46857142857142858</c:v>
                </c:pt>
                <c:pt idx="1">
                  <c:v>0.4757142857142857</c:v>
                </c:pt>
                <c:pt idx="2">
                  <c:v>0.47628571428571431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71-4C2D-9369-D839986B3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1460744"/>
        <c:axId val="1471763976"/>
      </c:lineChart>
      <c:catAx>
        <c:axId val="1721460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763976"/>
        <c:crosses val="autoZero"/>
        <c:auto val="1"/>
        <c:lblAlgn val="ctr"/>
        <c:lblOffset val="100"/>
        <c:noMultiLvlLbl val="0"/>
      </c:catAx>
      <c:valAx>
        <c:axId val="1471763976"/>
        <c:scaling>
          <c:orientation val="minMax"/>
          <c:max val="0.5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460744"/>
        <c:crosses val="autoZero"/>
        <c:crossBetween val="between"/>
        <c:majorUnit val="0.0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133350</xdr:rowOff>
    </xdr:from>
    <xdr:to>
      <xdr:col>7</xdr:col>
      <xdr:colOff>295275</xdr:colOff>
      <xdr:row>29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250E7-DF7C-9424-19DE-8B1F7761F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180975</xdr:rowOff>
    </xdr:from>
    <xdr:to>
      <xdr:col>7</xdr:col>
      <xdr:colOff>295275</xdr:colOff>
      <xdr:row>44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702D29-1729-DF5F-1F8D-371694FD14F3}"/>
            </a:ext>
            <a:ext uri="{147F2762-F138-4A5C-976F-8EAC2B608ADB}">
              <a16:predDERef xmlns:a16="http://schemas.microsoft.com/office/drawing/2014/main" pred="{FC5250E7-DF7C-9424-19DE-8B1F7761F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19050</xdr:rowOff>
    </xdr:from>
    <xdr:to>
      <xdr:col>7</xdr:col>
      <xdr:colOff>295275</xdr:colOff>
      <xdr:row>59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4FD8BA-2340-3028-9D92-51D6C2C69F0D}"/>
            </a:ext>
            <a:ext uri="{147F2762-F138-4A5C-976F-8EAC2B608ADB}">
              <a16:predDERef xmlns:a16="http://schemas.microsoft.com/office/drawing/2014/main" pred="{24702D29-1729-DF5F-1F8D-371694FD1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4</xdr:col>
      <xdr:colOff>600075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CD7547-9089-4241-A14B-AE335DA14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4</xdr:row>
      <xdr:rowOff>171450</xdr:rowOff>
    </xdr:from>
    <xdr:to>
      <xdr:col>10</xdr:col>
      <xdr:colOff>285750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AE93E-61E8-4008-9D1F-C07203C19224}"/>
            </a:ext>
            <a:ext uri="{147F2762-F138-4A5C-976F-8EAC2B608ADB}">
              <a16:predDERef xmlns:a16="http://schemas.microsoft.com/office/drawing/2014/main" pred="{F6CD7547-9089-4241-A14B-AE335DA14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10</xdr:col>
      <xdr:colOff>285750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8ACF30-4257-4B6F-B45C-68AC27F526A4}"/>
            </a:ext>
            <a:ext uri="{147F2762-F138-4A5C-976F-8EAC2B608ADB}">
              <a16:predDERef xmlns:a16="http://schemas.microsoft.com/office/drawing/2014/main" pred="{3A6AE93E-61E8-4008-9D1F-C07203C19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4B69E-D056-413E-896D-8F769993CEB8}" name="tblTransactions" displayName="tblTransactions" ref="A1:H38" totalsRowShown="0">
  <autoFilter ref="A1:H38" xr:uid="{D5F4B69E-D056-413E-896D-8F769993CEB8}"/>
  <tableColumns count="8">
    <tableColumn id="1" xr3:uid="{5A5DC9FF-3FC0-4124-BD57-69B3F3097DB2}" name="Date" dataDxfId="1"/>
    <tableColumn id="2" xr3:uid="{D5B35027-5F6E-47C2-8A6F-3C551D06536A}" name="Description"/>
    <tableColumn id="3" xr3:uid="{6D2EDBBA-65B8-4254-997E-DD2152F5DEF4}" name="Category"/>
    <tableColumn id="4" xr3:uid="{4CE2F30E-96C2-4375-9216-45119D1ED1E8}" name="Type"/>
    <tableColumn id="5" xr3:uid="{2BD0743A-94EA-4798-872D-1A27597F8905}" name="Amount" dataDxfId="0"/>
    <tableColumn id="6" xr3:uid="{9A8883EC-8E3F-4D88-A9E0-03F9175BEFEC}" name="Payment Method"/>
    <tableColumn id="7" xr3:uid="{83160D11-1CF3-4EDD-BA3E-696865D4D8F4}" name="Month"/>
    <tableColumn id="8" xr3:uid="{FC2912CE-E8ED-4FEA-8CC7-1A46B5C2BF82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J30" sqref="J30"/>
    </sheetView>
  </sheetViews>
  <sheetFormatPr defaultRowHeight="15"/>
  <cols>
    <col min="1" max="1" width="12.5703125" bestFit="1" customWidth="1"/>
    <col min="10" max="10" width="15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 s="15">
        <v>46023</v>
      </c>
      <c r="B2" t="s">
        <v>8</v>
      </c>
      <c r="C2" t="s">
        <v>9</v>
      </c>
      <c r="D2" t="s">
        <v>9</v>
      </c>
      <c r="E2" s="2">
        <v>3500</v>
      </c>
      <c r="F2" t="s">
        <v>10</v>
      </c>
      <c r="G2" t="s">
        <v>11</v>
      </c>
      <c r="H2" t="s">
        <v>12</v>
      </c>
    </row>
    <row r="3" spans="1:10">
      <c r="A3" s="15">
        <v>46054</v>
      </c>
      <c r="B3" t="s">
        <v>13</v>
      </c>
      <c r="C3" t="s">
        <v>14</v>
      </c>
      <c r="D3" t="s">
        <v>15</v>
      </c>
      <c r="E3" s="2">
        <v>950</v>
      </c>
      <c r="F3" t="s">
        <v>10</v>
      </c>
      <c r="G3" t="s">
        <v>11</v>
      </c>
      <c r="H3" t="s">
        <v>16</v>
      </c>
    </row>
    <row r="4" spans="1:10">
      <c r="A4" s="15">
        <v>46082</v>
      </c>
      <c r="B4" t="s">
        <v>17</v>
      </c>
      <c r="C4" t="s">
        <v>18</v>
      </c>
      <c r="D4" t="s">
        <v>15</v>
      </c>
      <c r="E4" s="2">
        <v>185</v>
      </c>
      <c r="F4" t="s">
        <v>19</v>
      </c>
      <c r="G4" t="s">
        <v>11</v>
      </c>
      <c r="H4" t="s">
        <v>20</v>
      </c>
    </row>
    <row r="5" spans="1:10">
      <c r="A5" s="15">
        <v>46143</v>
      </c>
      <c r="B5" t="s">
        <v>21</v>
      </c>
      <c r="C5" t="s">
        <v>22</v>
      </c>
      <c r="D5" t="s">
        <v>15</v>
      </c>
      <c r="E5" s="2">
        <v>85</v>
      </c>
      <c r="F5" t="s">
        <v>19</v>
      </c>
      <c r="G5" t="s">
        <v>11</v>
      </c>
      <c r="H5" t="s">
        <v>23</v>
      </c>
    </row>
    <row r="6" spans="1:10">
      <c r="A6" s="15">
        <v>46204</v>
      </c>
      <c r="B6" t="s">
        <v>24</v>
      </c>
      <c r="C6" t="s">
        <v>22</v>
      </c>
      <c r="D6" t="s">
        <v>15</v>
      </c>
      <c r="E6" s="2">
        <v>45</v>
      </c>
      <c r="F6" t="s">
        <v>25</v>
      </c>
      <c r="G6" t="s">
        <v>11</v>
      </c>
      <c r="H6" t="s">
        <v>26</v>
      </c>
    </row>
    <row r="7" spans="1:10">
      <c r="A7" s="15">
        <v>46296</v>
      </c>
      <c r="B7" t="s">
        <v>27</v>
      </c>
      <c r="C7" t="s">
        <v>18</v>
      </c>
      <c r="D7" t="s">
        <v>15</v>
      </c>
      <c r="E7" s="2">
        <v>65</v>
      </c>
      <c r="F7" t="s">
        <v>25</v>
      </c>
      <c r="G7" t="s">
        <v>11</v>
      </c>
      <c r="H7" t="s">
        <v>28</v>
      </c>
    </row>
    <row r="8" spans="1:10">
      <c r="A8" s="15">
        <v>46357</v>
      </c>
      <c r="B8" t="s">
        <v>29</v>
      </c>
      <c r="C8" t="s">
        <v>30</v>
      </c>
      <c r="D8" t="s">
        <v>15</v>
      </c>
      <c r="E8" s="2">
        <v>60</v>
      </c>
      <c r="F8" t="s">
        <v>19</v>
      </c>
      <c r="G8" t="s">
        <v>11</v>
      </c>
      <c r="H8" t="s">
        <v>30</v>
      </c>
    </row>
    <row r="9" spans="1:10">
      <c r="A9" s="15">
        <v>46037</v>
      </c>
      <c r="B9" t="s">
        <v>31</v>
      </c>
      <c r="C9" t="s">
        <v>32</v>
      </c>
      <c r="D9" t="s">
        <v>15</v>
      </c>
      <c r="E9" s="2">
        <v>25</v>
      </c>
      <c r="F9" t="s">
        <v>25</v>
      </c>
      <c r="G9" t="s">
        <v>11</v>
      </c>
      <c r="H9" t="s">
        <v>33</v>
      </c>
      <c r="J9" s="1"/>
    </row>
    <row r="10" spans="1:10">
      <c r="A10" s="15">
        <v>46040</v>
      </c>
      <c r="B10" t="s">
        <v>34</v>
      </c>
      <c r="C10" t="s">
        <v>35</v>
      </c>
      <c r="D10" t="s">
        <v>15</v>
      </c>
      <c r="E10" s="2">
        <v>40</v>
      </c>
      <c r="F10" t="s">
        <v>19</v>
      </c>
      <c r="G10" t="s">
        <v>11</v>
      </c>
      <c r="H10" t="s">
        <v>36</v>
      </c>
      <c r="J10" s="1"/>
    </row>
    <row r="11" spans="1:10">
      <c r="A11" s="15">
        <v>46042</v>
      </c>
      <c r="B11" t="s">
        <v>37</v>
      </c>
      <c r="C11" t="s">
        <v>38</v>
      </c>
      <c r="D11" t="s">
        <v>15</v>
      </c>
      <c r="E11" s="2">
        <v>120</v>
      </c>
      <c r="F11" t="s">
        <v>25</v>
      </c>
      <c r="G11" t="s">
        <v>11</v>
      </c>
      <c r="H11" t="s">
        <v>39</v>
      </c>
      <c r="J11" s="1"/>
    </row>
    <row r="12" spans="1:10">
      <c r="A12" s="15">
        <v>46044</v>
      </c>
      <c r="B12" t="s">
        <v>17</v>
      </c>
      <c r="C12" t="s">
        <v>18</v>
      </c>
      <c r="D12" t="s">
        <v>15</v>
      </c>
      <c r="E12" s="2">
        <v>160</v>
      </c>
      <c r="F12" t="s">
        <v>19</v>
      </c>
      <c r="G12" t="s">
        <v>11</v>
      </c>
      <c r="H12" t="s">
        <v>20</v>
      </c>
      <c r="J12" s="1"/>
    </row>
    <row r="13" spans="1:10">
      <c r="A13" s="15">
        <v>46047</v>
      </c>
      <c r="B13" t="s">
        <v>27</v>
      </c>
      <c r="C13" t="s">
        <v>18</v>
      </c>
      <c r="D13" t="s">
        <v>15</v>
      </c>
      <c r="E13" s="2">
        <v>55</v>
      </c>
      <c r="F13" t="s">
        <v>25</v>
      </c>
      <c r="G13" t="s">
        <v>11</v>
      </c>
      <c r="H13" t="s">
        <v>28</v>
      </c>
      <c r="J13" s="1"/>
    </row>
    <row r="14" spans="1:10">
      <c r="A14" s="15">
        <v>46050</v>
      </c>
      <c r="B14" t="s">
        <v>29</v>
      </c>
      <c r="C14" t="s">
        <v>30</v>
      </c>
      <c r="D14" t="s">
        <v>15</v>
      </c>
      <c r="E14" s="2">
        <v>70</v>
      </c>
      <c r="F14" t="s">
        <v>19</v>
      </c>
      <c r="G14" t="s">
        <v>11</v>
      </c>
      <c r="H14" t="s">
        <v>30</v>
      </c>
      <c r="J14" s="1"/>
    </row>
    <row r="15" spans="1:10">
      <c r="A15" s="15">
        <v>46024</v>
      </c>
      <c r="B15" t="s">
        <v>8</v>
      </c>
      <c r="C15" t="s">
        <v>9</v>
      </c>
      <c r="D15" t="s">
        <v>9</v>
      </c>
      <c r="E15" s="2">
        <v>3500</v>
      </c>
      <c r="F15" t="s">
        <v>10</v>
      </c>
      <c r="G15" t="s">
        <v>40</v>
      </c>
      <c r="H15" t="s">
        <v>12</v>
      </c>
    </row>
    <row r="16" spans="1:10">
      <c r="A16" s="15">
        <v>46083</v>
      </c>
      <c r="B16" t="s">
        <v>13</v>
      </c>
      <c r="C16" t="s">
        <v>14</v>
      </c>
      <c r="D16" t="s">
        <v>15</v>
      </c>
      <c r="E16" s="2">
        <v>950</v>
      </c>
      <c r="F16" t="s">
        <v>10</v>
      </c>
      <c r="G16" t="s">
        <v>40</v>
      </c>
      <c r="H16" t="s">
        <v>16</v>
      </c>
    </row>
    <row r="17" spans="1:10">
      <c r="A17" s="15">
        <v>46144</v>
      </c>
      <c r="B17" t="s">
        <v>17</v>
      </c>
      <c r="C17" t="s">
        <v>18</v>
      </c>
      <c r="D17" t="s">
        <v>15</v>
      </c>
      <c r="E17" s="2">
        <v>210</v>
      </c>
      <c r="F17" t="s">
        <v>19</v>
      </c>
      <c r="G17" t="s">
        <v>40</v>
      </c>
      <c r="H17" t="s">
        <v>20</v>
      </c>
    </row>
    <row r="18" spans="1:10">
      <c r="A18" s="15">
        <v>46205</v>
      </c>
      <c r="B18" t="s">
        <v>21</v>
      </c>
      <c r="C18" t="s">
        <v>22</v>
      </c>
      <c r="D18" t="s">
        <v>15</v>
      </c>
      <c r="E18" s="2">
        <v>90</v>
      </c>
      <c r="F18" t="s">
        <v>19</v>
      </c>
      <c r="G18" t="s">
        <v>40</v>
      </c>
      <c r="H18" t="s">
        <v>23</v>
      </c>
    </row>
    <row r="19" spans="1:10">
      <c r="A19" s="15">
        <v>46297</v>
      </c>
      <c r="B19" t="s">
        <v>27</v>
      </c>
      <c r="C19" t="s">
        <v>18</v>
      </c>
      <c r="D19" t="s">
        <v>15</v>
      </c>
      <c r="E19" s="2">
        <v>75</v>
      </c>
      <c r="F19" t="s">
        <v>25</v>
      </c>
      <c r="G19" t="s">
        <v>40</v>
      </c>
      <c r="H19" t="s">
        <v>28</v>
      </c>
    </row>
    <row r="20" spans="1:10">
      <c r="A20" s="15">
        <v>46358</v>
      </c>
      <c r="B20" t="s">
        <v>29</v>
      </c>
      <c r="C20" t="s">
        <v>30</v>
      </c>
      <c r="D20" t="s">
        <v>15</v>
      </c>
      <c r="E20" s="2">
        <v>65</v>
      </c>
      <c r="F20" t="s">
        <v>19</v>
      </c>
      <c r="G20" t="s">
        <v>40</v>
      </c>
      <c r="H20" t="s">
        <v>30</v>
      </c>
    </row>
    <row r="21" spans="1:10">
      <c r="A21" s="15">
        <v>46068</v>
      </c>
      <c r="B21" t="s">
        <v>31</v>
      </c>
      <c r="C21" t="s">
        <v>32</v>
      </c>
      <c r="D21" t="s">
        <v>15</v>
      </c>
      <c r="E21" s="2">
        <v>25</v>
      </c>
      <c r="F21" t="s">
        <v>25</v>
      </c>
      <c r="G21" t="s">
        <v>40</v>
      </c>
      <c r="H21" t="s">
        <v>33</v>
      </c>
      <c r="J21" s="1"/>
    </row>
    <row r="22" spans="1:10">
      <c r="A22" s="15">
        <v>46071</v>
      </c>
      <c r="B22" t="s">
        <v>34</v>
      </c>
      <c r="C22" t="s">
        <v>35</v>
      </c>
      <c r="D22" t="s">
        <v>15</v>
      </c>
      <c r="E22" s="2">
        <v>35</v>
      </c>
      <c r="F22" t="s">
        <v>19</v>
      </c>
      <c r="G22" t="s">
        <v>40</v>
      </c>
      <c r="H22" t="s">
        <v>36</v>
      </c>
      <c r="J22" s="1"/>
    </row>
    <row r="23" spans="1:10">
      <c r="A23" s="15">
        <v>46073</v>
      </c>
      <c r="B23" t="s">
        <v>37</v>
      </c>
      <c r="C23" t="s">
        <v>38</v>
      </c>
      <c r="D23" t="s">
        <v>15</v>
      </c>
      <c r="E23" s="2">
        <v>95</v>
      </c>
      <c r="F23" t="s">
        <v>25</v>
      </c>
      <c r="G23" t="s">
        <v>40</v>
      </c>
      <c r="H23" t="s">
        <v>39</v>
      </c>
      <c r="J23" s="1"/>
    </row>
    <row r="24" spans="1:10">
      <c r="A24" s="15">
        <v>46075</v>
      </c>
      <c r="B24" t="s">
        <v>17</v>
      </c>
      <c r="C24" t="s">
        <v>18</v>
      </c>
      <c r="D24" t="s">
        <v>15</v>
      </c>
      <c r="E24" s="2">
        <v>175</v>
      </c>
      <c r="F24" t="s">
        <v>19</v>
      </c>
      <c r="G24" t="s">
        <v>40</v>
      </c>
      <c r="H24" t="s">
        <v>20</v>
      </c>
      <c r="J24" s="1"/>
    </row>
    <row r="25" spans="1:10">
      <c r="A25" s="15">
        <v>46078</v>
      </c>
      <c r="B25" t="s">
        <v>27</v>
      </c>
      <c r="C25" t="s">
        <v>18</v>
      </c>
      <c r="D25" t="s">
        <v>15</v>
      </c>
      <c r="E25" s="2">
        <v>60</v>
      </c>
      <c r="F25" t="s">
        <v>25</v>
      </c>
      <c r="G25" t="s">
        <v>40</v>
      </c>
      <c r="H25" t="s">
        <v>28</v>
      </c>
      <c r="J25" s="1"/>
    </row>
    <row r="26" spans="1:10">
      <c r="A26" s="15">
        <v>46081</v>
      </c>
      <c r="B26" t="s">
        <v>29</v>
      </c>
      <c r="C26" t="s">
        <v>30</v>
      </c>
      <c r="D26" t="s">
        <v>15</v>
      </c>
      <c r="E26" s="2">
        <v>55</v>
      </c>
      <c r="F26" t="s">
        <v>19</v>
      </c>
      <c r="G26" t="s">
        <v>40</v>
      </c>
      <c r="H26" t="s">
        <v>30</v>
      </c>
      <c r="J26" s="1"/>
    </row>
    <row r="27" spans="1:10">
      <c r="A27" s="15">
        <v>46025</v>
      </c>
      <c r="B27" t="s">
        <v>8</v>
      </c>
      <c r="C27" t="s">
        <v>9</v>
      </c>
      <c r="D27" t="s">
        <v>9</v>
      </c>
      <c r="E27" s="2">
        <v>3500</v>
      </c>
      <c r="F27" t="s">
        <v>10</v>
      </c>
      <c r="G27" t="s">
        <v>41</v>
      </c>
      <c r="H27" t="s">
        <v>12</v>
      </c>
    </row>
    <row r="28" spans="1:10">
      <c r="A28" s="15">
        <v>46084</v>
      </c>
      <c r="B28" t="s">
        <v>13</v>
      </c>
      <c r="C28" t="s">
        <v>14</v>
      </c>
      <c r="D28" t="s">
        <v>15</v>
      </c>
      <c r="E28" s="2">
        <v>950</v>
      </c>
      <c r="F28" t="s">
        <v>10</v>
      </c>
      <c r="G28" t="s">
        <v>41</v>
      </c>
      <c r="H28" t="s">
        <v>16</v>
      </c>
    </row>
    <row r="29" spans="1:10">
      <c r="A29" s="15">
        <v>46145</v>
      </c>
      <c r="B29" t="s">
        <v>17</v>
      </c>
      <c r="C29" t="s">
        <v>18</v>
      </c>
      <c r="D29" t="s">
        <v>15</v>
      </c>
      <c r="E29" s="2">
        <v>195</v>
      </c>
      <c r="F29" t="s">
        <v>19</v>
      </c>
      <c r="G29" t="s">
        <v>41</v>
      </c>
      <c r="H29" t="s">
        <v>20</v>
      </c>
    </row>
    <row r="30" spans="1:10">
      <c r="A30" s="15">
        <v>46206</v>
      </c>
      <c r="B30" t="s">
        <v>21</v>
      </c>
      <c r="C30" t="s">
        <v>22</v>
      </c>
      <c r="D30" t="s">
        <v>15</v>
      </c>
      <c r="E30" s="2">
        <v>88</v>
      </c>
      <c r="F30" t="s">
        <v>19</v>
      </c>
      <c r="G30" t="s">
        <v>41</v>
      </c>
      <c r="H30" t="s">
        <v>23</v>
      </c>
    </row>
    <row r="31" spans="1:10">
      <c r="A31" s="15">
        <v>46298</v>
      </c>
      <c r="B31" t="s">
        <v>27</v>
      </c>
      <c r="C31" t="s">
        <v>18</v>
      </c>
      <c r="D31" t="s">
        <v>15</v>
      </c>
      <c r="E31" s="2">
        <v>70</v>
      </c>
      <c r="F31" t="s">
        <v>25</v>
      </c>
      <c r="G31" t="s">
        <v>41</v>
      </c>
      <c r="H31" t="s">
        <v>28</v>
      </c>
    </row>
    <row r="32" spans="1:10">
      <c r="A32" s="15">
        <v>46359</v>
      </c>
      <c r="B32" t="s">
        <v>29</v>
      </c>
      <c r="C32" t="s">
        <v>30</v>
      </c>
      <c r="D32" t="s">
        <v>15</v>
      </c>
      <c r="E32" s="2">
        <v>62</v>
      </c>
      <c r="F32" t="s">
        <v>19</v>
      </c>
      <c r="G32" t="s">
        <v>41</v>
      </c>
      <c r="H32" t="s">
        <v>30</v>
      </c>
    </row>
    <row r="33" spans="1:10">
      <c r="A33" s="15">
        <v>46096</v>
      </c>
      <c r="B33" t="s">
        <v>31</v>
      </c>
      <c r="C33" t="s">
        <v>32</v>
      </c>
      <c r="D33" t="s">
        <v>15</v>
      </c>
      <c r="E33" s="2">
        <v>25</v>
      </c>
      <c r="F33" t="s">
        <v>25</v>
      </c>
      <c r="G33" t="s">
        <v>41</v>
      </c>
      <c r="H33" t="s">
        <v>33</v>
      </c>
      <c r="J33" s="1"/>
    </row>
    <row r="34" spans="1:10">
      <c r="A34" s="15">
        <v>46099</v>
      </c>
      <c r="B34" t="s">
        <v>34</v>
      </c>
      <c r="C34" t="s">
        <v>35</v>
      </c>
      <c r="D34" t="s">
        <v>15</v>
      </c>
      <c r="E34" s="2">
        <v>50</v>
      </c>
      <c r="F34" t="s">
        <v>19</v>
      </c>
      <c r="G34" t="s">
        <v>41</v>
      </c>
      <c r="H34" t="s">
        <v>36</v>
      </c>
      <c r="J34" s="1"/>
    </row>
    <row r="35" spans="1:10">
      <c r="A35" s="15">
        <v>46101</v>
      </c>
      <c r="B35" t="s">
        <v>37</v>
      </c>
      <c r="C35" t="s">
        <v>38</v>
      </c>
      <c r="D35" t="s">
        <v>15</v>
      </c>
      <c r="E35" s="2">
        <v>80</v>
      </c>
      <c r="F35" t="s">
        <v>25</v>
      </c>
      <c r="G35" t="s">
        <v>41</v>
      </c>
      <c r="H35" t="s">
        <v>39</v>
      </c>
      <c r="J35" s="1"/>
    </row>
    <row r="36" spans="1:10">
      <c r="A36" s="15">
        <v>46103</v>
      </c>
      <c r="B36" t="s">
        <v>17</v>
      </c>
      <c r="C36" t="s">
        <v>18</v>
      </c>
      <c r="D36" t="s">
        <v>15</v>
      </c>
      <c r="E36" s="2">
        <v>180</v>
      </c>
      <c r="F36" t="s">
        <v>19</v>
      </c>
      <c r="G36" t="s">
        <v>41</v>
      </c>
      <c r="H36" t="s">
        <v>20</v>
      </c>
      <c r="J36" s="1"/>
    </row>
    <row r="37" spans="1:10">
      <c r="A37" s="15">
        <v>46106</v>
      </c>
      <c r="B37" t="s">
        <v>27</v>
      </c>
      <c r="C37" t="s">
        <v>18</v>
      </c>
      <c r="D37" t="s">
        <v>15</v>
      </c>
      <c r="E37" s="2">
        <v>65</v>
      </c>
      <c r="F37" t="s">
        <v>25</v>
      </c>
      <c r="G37" t="s">
        <v>41</v>
      </c>
      <c r="H37" t="s">
        <v>28</v>
      </c>
      <c r="J37" s="1"/>
    </row>
    <row r="38" spans="1:10">
      <c r="A38" s="15">
        <v>46109</v>
      </c>
      <c r="B38" t="s">
        <v>29</v>
      </c>
      <c r="C38" t="s">
        <v>30</v>
      </c>
      <c r="D38" t="s">
        <v>15</v>
      </c>
      <c r="E38" s="2">
        <v>68</v>
      </c>
      <c r="F38" t="s">
        <v>19</v>
      </c>
      <c r="G38" t="s">
        <v>41</v>
      </c>
      <c r="H38" t="s">
        <v>30</v>
      </c>
      <c r="J3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3FA9-D9AC-4858-A79F-75790A36555A}">
  <dimension ref="A1:K20"/>
  <sheetViews>
    <sheetView workbookViewId="0">
      <selection activeCell="K21" sqref="K21"/>
    </sheetView>
  </sheetViews>
  <sheetFormatPr defaultRowHeight="15"/>
  <cols>
    <col min="2" max="2" width="9.28515625" bestFit="1" customWidth="1"/>
    <col min="11" max="11" width="13.140625" customWidth="1"/>
  </cols>
  <sheetData>
    <row r="1" spans="1:11">
      <c r="A1" t="s">
        <v>42</v>
      </c>
      <c r="B1" s="2">
        <f>SUMIFS(tblTransactions[Amount],tblTransactions[Type],"Income")</f>
        <v>10500</v>
      </c>
    </row>
    <row r="2" spans="1:11">
      <c r="A2" t="s">
        <v>43</v>
      </c>
      <c r="B2" s="2">
        <f>SUMIFS(tblTransactions[Amount],tblTransactions[Type],"Expense")</f>
        <v>5528</v>
      </c>
    </row>
    <row r="3" spans="1:11">
      <c r="A3" t="s">
        <v>44</v>
      </c>
      <c r="B3" s="2">
        <f>B1-B2</f>
        <v>4972</v>
      </c>
    </row>
    <row r="4" spans="1:11">
      <c r="A4" t="s">
        <v>45</v>
      </c>
      <c r="B4" s="3">
        <f>B3/B1</f>
        <v>0.47352380952380951</v>
      </c>
    </row>
    <row r="7" spans="1:11">
      <c r="A7" t="s">
        <v>2</v>
      </c>
      <c r="B7" t="s">
        <v>43</v>
      </c>
      <c r="D7" t="s">
        <v>6</v>
      </c>
      <c r="E7" t="s">
        <v>9</v>
      </c>
      <c r="F7" t="s">
        <v>46</v>
      </c>
      <c r="G7" t="s">
        <v>47</v>
      </c>
      <c r="H7" t="s">
        <v>45</v>
      </c>
    </row>
    <row r="8" spans="1:11">
      <c r="A8" t="s">
        <v>32</v>
      </c>
      <c r="B8">
        <f>SUMIFS(tblTransactions[Amount],tblTransactions[Category],A8,tblTransactions[Type],"Expense")</f>
        <v>75</v>
      </c>
      <c r="D8" t="s">
        <v>11</v>
      </c>
      <c r="E8">
        <f>SUMIFS(tblTransactions[Amount],tblTransactions[Month],D8,tblTransactions[Type],"Income")</f>
        <v>3500</v>
      </c>
      <c r="F8">
        <f>SUMIFS(tblTransactions[Amount],tblTransactions[Month],D8,tblTransactions[Type],"Expense")</f>
        <v>1860</v>
      </c>
      <c r="G8">
        <f>E8-F8</f>
        <v>1640</v>
      </c>
      <c r="H8" s="3">
        <f>G8/E8</f>
        <v>0.46857142857142858</v>
      </c>
    </row>
    <row r="9" spans="1:11">
      <c r="A9" t="s">
        <v>35</v>
      </c>
      <c r="B9">
        <f>SUMIFS(tblTransactions[Amount],tblTransactions[Category],A9,tblTransactions[Type],"Expense")</f>
        <v>125</v>
      </c>
      <c r="D9" t="s">
        <v>40</v>
      </c>
      <c r="E9">
        <f>SUMIFS(tblTransactions[Amount],tblTransactions[Month],D9,tblTransactions[Type],"Income")</f>
        <v>3500</v>
      </c>
      <c r="F9">
        <f>SUMIFS(tblTransactions[Amount],tblTransactions[Month],D9,tblTransactions[Type],"Expense")</f>
        <v>1835</v>
      </c>
      <c r="G9">
        <f t="shared" ref="G9:G10" si="0">E9-F9</f>
        <v>1665</v>
      </c>
      <c r="H9" s="3">
        <f t="shared" ref="H9:H10" si="1">G9/E9</f>
        <v>0.4757142857142857</v>
      </c>
    </row>
    <row r="10" spans="1:11">
      <c r="A10" t="s">
        <v>38</v>
      </c>
      <c r="B10">
        <f>SUMIFS(tblTransactions[Amount],tblTransactions[Category],A10,tblTransactions[Type],"Expense")</f>
        <v>295</v>
      </c>
      <c r="D10" t="s">
        <v>41</v>
      </c>
      <c r="E10">
        <f>SUMIFS(tblTransactions[Amount],tblTransactions[Month],D10,tblTransactions[Type],"Income")</f>
        <v>3500</v>
      </c>
      <c r="F10">
        <f>SUMIFS(tblTransactions[Amount],tblTransactions[Month],D10,tblTransactions[Type],"Expense")</f>
        <v>1833</v>
      </c>
      <c r="G10">
        <f t="shared" si="0"/>
        <v>1667</v>
      </c>
      <c r="H10" s="3">
        <f t="shared" si="1"/>
        <v>0.47628571428571431</v>
      </c>
    </row>
    <row r="11" spans="1:11">
      <c r="A11" t="s">
        <v>22</v>
      </c>
      <c r="B11">
        <f>SUMIFS(tblTransactions[Amount],tblTransactions[Category],A11,tblTransactions[Type],"Expense")</f>
        <v>308</v>
      </c>
    </row>
    <row r="12" spans="1:11">
      <c r="A12" t="s">
        <v>30</v>
      </c>
      <c r="B12">
        <f>SUMIFS(tblTransactions[Amount],tblTransactions[Category],A12,tblTransactions[Type],"Expense")</f>
        <v>380</v>
      </c>
    </row>
    <row r="13" spans="1:11">
      <c r="A13" t="s">
        <v>18</v>
      </c>
      <c r="B13">
        <f>SUMIFS(tblTransactions[Amount],tblTransactions[Category],A13,tblTransactions[Type],"Expense")</f>
        <v>1495</v>
      </c>
    </row>
    <row r="14" spans="1:11">
      <c r="A14" t="s">
        <v>14</v>
      </c>
      <c r="B14">
        <f>SUMIFS(tblTransactions[Amount],tblTransactions[Category],A14,tblTransactions[Type],"Expense")</f>
        <v>2850</v>
      </c>
      <c r="J14" s="4" t="s">
        <v>48</v>
      </c>
      <c r="K14" s="4" t="s">
        <v>49</v>
      </c>
    </row>
    <row r="15" spans="1:11">
      <c r="J15" t="s">
        <v>50</v>
      </c>
      <c r="K15" s="3">
        <f>SUMIFS(tblTransactions[Amount],tblTransactions[Category],"Housing",tblTransactions[Type],"Expense")/B2</f>
        <v>0.51555716353111436</v>
      </c>
    </row>
    <row r="16" spans="1:11">
      <c r="J16" t="s">
        <v>51</v>
      </c>
      <c r="K16" s="3">
        <f>H10-H8</f>
        <v>7.7142857142857291E-3</v>
      </c>
    </row>
    <row r="17" spans="10:11">
      <c r="J17" t="s">
        <v>52</v>
      </c>
      <c r="K17">
        <f>F10-F8</f>
        <v>-27</v>
      </c>
    </row>
    <row r="18" spans="10:11">
      <c r="J18" t="s">
        <v>53</v>
      </c>
      <c r="K18" s="3">
        <f>(F10-F8)/F8</f>
        <v>-1.4516129032258065E-2</v>
      </c>
    </row>
    <row r="20" spans="10:11">
      <c r="J20" s="4" t="s">
        <v>54</v>
      </c>
      <c r="K20" s="5">
        <f>SUMIFS(tblTransactions[Amount],tblTransactions[Category],"Housing",tblTransactions[Type],"Expense")/B2+SUMIFS(tblTransactions[Amount],tblTransactions[Category],"Food",tblTransactions[Type],"Expense")/B2</f>
        <v>0.78599855282199715</v>
      </c>
    </row>
  </sheetData>
  <sortState xmlns:xlrd2="http://schemas.microsoft.com/office/spreadsheetml/2017/richdata2" ref="A8:B14">
    <sortCondition ref="B8:B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A14C0-EDE4-4DF4-8498-9B273A41F88B}">
  <dimension ref="A1:K42"/>
  <sheetViews>
    <sheetView topLeftCell="A16" workbookViewId="0">
      <selection activeCell="A40" sqref="A40"/>
    </sheetView>
  </sheetViews>
  <sheetFormatPr defaultRowHeight="15"/>
  <cols>
    <col min="1" max="1" width="18.28515625" customWidth="1"/>
    <col min="2" max="2" width="13.85546875" bestFit="1" customWidth="1"/>
    <col min="3" max="3" width="14.28515625" bestFit="1" customWidth="1"/>
    <col min="4" max="4" width="20.140625" customWidth="1"/>
    <col min="5" max="5" width="12.42578125" bestFit="1" customWidth="1"/>
    <col min="6" max="6" width="19.140625" bestFit="1" customWidth="1"/>
    <col min="7" max="7" width="16.28515625" customWidth="1"/>
    <col min="8" max="8" width="12.42578125" bestFit="1" customWidth="1"/>
    <col min="10" max="10" width="16.85546875" customWidth="1"/>
    <col min="11" max="11" width="9.5703125" bestFit="1" customWidth="1"/>
  </cols>
  <sheetData>
    <row r="1" spans="1:11" ht="26.25">
      <c r="A1" s="9" t="s">
        <v>55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5.75">
      <c r="A3" s="10" t="s">
        <v>56</v>
      </c>
      <c r="B3" s="10"/>
      <c r="D3" s="10" t="s">
        <v>57</v>
      </c>
      <c r="E3" s="10"/>
      <c r="G3" s="10" t="s">
        <v>58</v>
      </c>
      <c r="H3" s="10"/>
      <c r="J3" s="12" t="s">
        <v>59</v>
      </c>
      <c r="K3" s="12"/>
    </row>
    <row r="4" spans="1:11" ht="23.25">
      <c r="A4" s="11">
        <f>Summary!B1</f>
        <v>10500</v>
      </c>
      <c r="B4" s="11"/>
      <c r="D4" s="11">
        <f>Summary!B2</f>
        <v>5528</v>
      </c>
      <c r="E4" s="11"/>
      <c r="G4" s="11">
        <f>Summary!B3</f>
        <v>4972</v>
      </c>
      <c r="H4" s="11"/>
      <c r="J4" s="13">
        <f>Summary!B4</f>
        <v>0.47352380952380951</v>
      </c>
      <c r="K4" s="13"/>
    </row>
    <row r="38" spans="1:11" ht="15.75">
      <c r="A38" s="6" t="s">
        <v>60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40" spans="1:11" ht="32.25" customHeight="1">
      <c r="A40" s="14" t="s">
        <v>61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7" t="s">
        <v>62</v>
      </c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8" t="s">
        <v>63</v>
      </c>
      <c r="B42" s="8"/>
      <c r="C42" s="8"/>
      <c r="D42" s="8"/>
      <c r="E42" s="8"/>
      <c r="F42" s="8"/>
      <c r="G42" s="8"/>
      <c r="H42" s="8"/>
      <c r="I42" s="8"/>
      <c r="J42" s="8"/>
      <c r="K42" s="8"/>
    </row>
  </sheetData>
  <mergeCells count="13">
    <mergeCell ref="A38:K38"/>
    <mergeCell ref="A41:K41"/>
    <mergeCell ref="A42:K42"/>
    <mergeCell ref="A1:K1"/>
    <mergeCell ref="A3:B3"/>
    <mergeCell ref="A4:B4"/>
    <mergeCell ref="D3:E3"/>
    <mergeCell ref="D4:E4"/>
    <mergeCell ref="G3:H3"/>
    <mergeCell ref="G4:H4"/>
    <mergeCell ref="J3:K3"/>
    <mergeCell ref="J4:K4"/>
    <mergeCell ref="A40:K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Salvador Francisco Orjuela Echandía</cp:lastModifiedBy>
  <cp:revision/>
  <dcterms:created xsi:type="dcterms:W3CDTF">2026-08-11T17:36:31Z</dcterms:created>
  <dcterms:modified xsi:type="dcterms:W3CDTF">2026-08-13T00:39:27Z</dcterms:modified>
  <cp:category/>
  <cp:contentStatus/>
</cp:coreProperties>
</file>